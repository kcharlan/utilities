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tegories" sheetId="1" state="visible" r:id="rId3"/>
    <sheet name="Expense Log" sheetId="2" state="visible" r:id="rId4"/>
    <sheet name="Summary" sheetId="3" state="visible" r:id="rId5"/>
    <sheet name="Entry Form" sheetId="4" state="visible" r:id="rId6"/>
    <sheet name="Guidelines" sheetId="5" state="visible" r:id="rId7"/>
  </sheets>
  <definedNames>
    <definedName function="false" hidden="true" localSheetId="1" name="_xlnm._FilterDatabase" vbProcedure="false">'Expense Log'!$A$1:$M$1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<sst xmlns="http://schemas.openxmlformats.org/spreadsheetml/2006/main" count="259" uniqueCount="172">
  <si>
    <t xml:space="preserve">Categories</t>
  </si>
  <si>
    <t xml:space="preserve">Payment Methods</t>
  </si>
  <si>
    <t xml:space="preserve">Paid By</t>
  </si>
  <si>
    <t xml:space="preserve">Reimbursement Status</t>
  </si>
  <si>
    <t xml:space="preserve">Software &amp; SaaS</t>
  </si>
  <si>
    <t xml:space="preserve">Company Card</t>
  </si>
  <si>
    <t xml:space="preserve">John Smith</t>
  </si>
  <si>
    <t xml:space="preserve">N/A</t>
  </si>
  <si>
    <t xml:space="preserve">Hardware &amp; Equipment</t>
  </si>
  <si>
    <t xml:space="preserve">Personal Card</t>
  </si>
  <si>
    <t xml:space="preserve">Jane Doe</t>
  </si>
  <si>
    <t xml:space="preserve">To Submit</t>
  </si>
  <si>
    <t xml:space="preserve">Office Supplies</t>
  </si>
  <si>
    <t xml:space="preserve">ACH/Bank Transfer</t>
  </si>
  <si>
    <t xml:space="preserve">Company</t>
  </si>
  <si>
    <t xml:space="preserve">Submitted</t>
  </si>
  <si>
    <t xml:space="preserve">Travel - Flights</t>
  </si>
  <si>
    <t xml:space="preserve">Cash</t>
  </si>
  <si>
    <t xml:space="preserve">Approved</t>
  </si>
  <si>
    <t xml:space="preserve">Travel - Lodging</t>
  </si>
  <si>
    <t xml:space="preserve">PayPal/Venmo</t>
  </si>
  <si>
    <t xml:space="preserve">Paid</t>
  </si>
  <si>
    <t xml:space="preserve">Travel - Ground Transport</t>
  </si>
  <si>
    <t xml:space="preserve">Other</t>
  </si>
  <si>
    <t xml:space="preserve">Meals &amp; Entertainment</t>
  </si>
  <si>
    <t xml:space="preserve">Professional Services</t>
  </si>
  <si>
    <t xml:space="preserve">Marketing &amp; Ads</t>
  </si>
  <si>
    <t xml:space="preserve">Shipping &amp; Postage</t>
  </si>
  <si>
    <t xml:space="preserve">Telecommunications</t>
  </si>
  <si>
    <t xml:space="preserve">Insurance</t>
  </si>
  <si>
    <t xml:space="preserve">Rent &amp; Facilities</t>
  </si>
  <si>
    <t xml:space="preserve">Training &amp; Education</t>
  </si>
  <si>
    <t xml:space="preserve">Miscellaneous</t>
  </si>
  <si>
    <t xml:space="preserve">ID</t>
  </si>
  <si>
    <t xml:space="preserve">Date</t>
  </si>
  <si>
    <t xml:space="preserve">Vendor</t>
  </si>
  <si>
    <t xml:space="preserve">Amount</t>
  </si>
  <si>
    <t xml:space="preserve">Category</t>
  </si>
  <si>
    <t xml:space="preserve">Business Purpose</t>
  </si>
  <si>
    <t xml:space="preserve">Payment Method</t>
  </si>
  <si>
    <t xml:space="preserve">Reimbursable?</t>
  </si>
  <si>
    <t xml:space="preserve">Reimb. Status</t>
  </si>
  <si>
    <t xml:space="preserve">Receipt Link</t>
  </si>
  <si>
    <t xml:space="preserve">Receipt Filename</t>
  </si>
  <si>
    <t xml:space="preserve">Notes</t>
  </si>
  <si>
    <t xml:space="preserve">CloudHost Inc.</t>
  </si>
  <si>
    <t xml:space="preserve">Monthly cloud hosting</t>
  </si>
  <si>
    <t xml:space="preserve">No</t>
  </si>
  <si>
    <t xml:space="preserve">https://example.com/receipt1</t>
  </si>
  <si>
    <t xml:space="preserve">2026-01-15_CloudHost_149.99_Hosting.pdf</t>
  </si>
  <si>
    <t xml:space="preserve">Office Depot</t>
  </si>
  <si>
    <t xml:space="preserve">Printer paper and toner</t>
  </si>
  <si>
    <t xml:space="preserve">Yes</t>
  </si>
  <si>
    <t xml:space="preserve">https://example.com/receipt2</t>
  </si>
  <si>
    <t xml:space="preserve">2026-01-22_OfficeDepot_47.82_Supplies.pdf</t>
  </si>
  <si>
    <t xml:space="preserve">Delta Airlines</t>
  </si>
  <si>
    <t xml:space="preserve">Client meeting in NYC</t>
  </si>
  <si>
    <t xml:space="preserve">https://example.com/receipt3</t>
  </si>
  <si>
    <t xml:space="preserve">2026-02-03_Delta_389.00_NYCFlight.pdf</t>
  </si>
  <si>
    <t xml:space="preserve">Zoom</t>
  </si>
  <si>
    <t xml:space="preserve">Monthly video conferencing subscription</t>
  </si>
  <si>
    <t xml:space="preserve">2026-02-10_Zoom_14.99_Subscription.pdf</t>
  </si>
  <si>
    <t xml:space="preserve">Auto-renewed</t>
  </si>
  <si>
    <t xml:space="preserve">Uber</t>
  </si>
  <si>
    <t xml:space="preserve">Airport to hotel for client meeting</t>
  </si>
  <si>
    <t xml:space="preserve">https://example.com/receipt5</t>
  </si>
  <si>
    <t xml:space="preserve">2026-02-14_Uber_32.50_AirportTransfer.pdf</t>
  </si>
  <si>
    <t xml:space="preserve">Marriott</t>
  </si>
  <si>
    <t xml:space="preserve">Hotel for NYC client meeting (1 night)</t>
  </si>
  <si>
    <t xml:space="preserve">https://example.com/receipt6</t>
  </si>
  <si>
    <t xml:space="preserve">2026-02-18_Marriott_219.00_NYCHotel.pdf</t>
  </si>
  <si>
    <t xml:space="preserve">Google Ads</t>
  </si>
  <si>
    <t xml:space="preserve">March ad campaign budget</t>
  </si>
  <si>
    <t xml:space="preserve">Recurring monthly spend</t>
  </si>
  <si>
    <t xml:space="preserve">Chipotle</t>
  </si>
  <si>
    <t xml:space="preserve">Team lunch - quarterly planning</t>
  </si>
  <si>
    <t xml:space="preserve">https://example.com/receipt8</t>
  </si>
  <si>
    <t xml:space="preserve">2026-03-05_Chipotle_86.40_TeamLunch.pdf</t>
  </si>
  <si>
    <t xml:space="preserve">8 people</t>
  </si>
  <si>
    <t xml:space="preserve">Expense Summary</t>
  </si>
  <si>
    <t xml:space="preserve">Total Expenses</t>
  </si>
  <si>
    <t xml:space="preserve">Total Reimbursable</t>
  </si>
  <si>
    <t xml:space="preserve">Number of Entries</t>
  </si>
  <si>
    <t xml:space="preserve">Spending by Category</t>
  </si>
  <si>
    <t xml:space="preserve">Total</t>
  </si>
  <si>
    <t xml:space="preserve">% of Total</t>
  </si>
  <si>
    <t xml:space="preserve">New Expense Entry</t>
  </si>
  <si>
    <t xml:space="preserve">Fill in the fields below, then copy the row from the "Ready to Copy" section into the Expense Log tab.</t>
  </si>
  <si>
    <t xml:space="preserve">2026-03-01</t>
  </si>
  <si>
    <t xml:space="preserve">Enter date as YYYY-MM-DD</t>
  </si>
  <si>
    <t xml:space="preserve">Staples</t>
  </si>
  <si>
    <t xml:space="preserve">e.g. Amazon, Uber, etc.</t>
  </si>
  <si>
    <t xml:space="preserve">e.g. 49.99</t>
  </si>
  <si>
    <t xml:space="preserve">Select from dropdown</t>
  </si>
  <si>
    <t xml:space="preserve">Pens and notebooks</t>
  </si>
  <si>
    <t xml:space="preserve">1-line description of why</t>
  </si>
  <si>
    <t xml:space="preserve">Yes or No</t>
  </si>
  <si>
    <t xml:space="preserve">https://example.com/receipt-link</t>
  </si>
  <si>
    <t xml:space="preserve">Paste OneDrive share link</t>
  </si>
  <si>
    <t xml:space="preserve">2026-03-01_Staples_29.99_OfficeSupplies.pdf</t>
  </si>
  <si>
    <t xml:space="preserve">e.g. 2026-02-17_Vendor_Amount_Purpose.pdf</t>
  </si>
  <si>
    <t xml:space="preserve">Optional</t>
  </si>
  <si>
    <t xml:space="preserve">Ready to Copy → Paste into Expense Log starting at column B</t>
  </si>
  <si>
    <t xml:space="preserve">HOW TO USE THIS FORM:
1. Fill in each field above (yellow cells).
2. Select the green "Ready to Copy" row (B20:M20) and copy it.
3. Go to the Expense Log tab, find the next empty row, click column B, and Paste Values (Ctrl+Shift+V).
4. In column A of that row, type the next ID number.
5. Come back here and clear the yellow input cells for your next entry.</t>
  </si>
  <si>
    <t xml:space="preserve">Expense Tracker — Setup &amp; Usage Guidelines</t>
  </si>
  <si>
    <t xml:space="preserve">1. OneDrive Folder Structure</t>
  </si>
  <si>
    <t xml:space="preserve">Keep it flat. You only need one folder with yearly subfolders. Don't over-organize — the spreadsheet is your index, not the folder hierarchy.</t>
  </si>
  <si>
    <t xml:space="preserve">Recommended structure:</t>
  </si>
  <si>
    <t xml:space="preserve">OneDrive/</t>
  </si>
  <si>
    <t xml:space="preserve">  └── Business Expenses/</t>
  </si>
  <si>
    <t xml:space="preserve">        ├── 2026/</t>
  </si>
  <si>
    <t xml:space="preserve">        │     ├── 2026-01/</t>
  </si>
  <si>
    <t xml:space="preserve">        │     ├── 2026-02/</t>
  </si>
  <si>
    <t xml:space="preserve">        │     └── ...</t>
  </si>
  <si>
    <t xml:space="preserve">        ├── 2027/</t>
  </si>
  <si>
    <t xml:space="preserve">        └── Expense_Tracker.xlsx   ← this file</t>
  </si>
  <si>
    <t xml:space="preserve">That's it — one folder per month inside each year. No category subfolders. The spreadsheet already tracks category, vendor, and purpose, so duplicating that in folder names just creates friction.</t>
  </si>
  <si>
    <t xml:space="preserve">2. Receipt File Naming Convention</t>
  </si>
  <si>
    <t xml:space="preserve">Format:   YYYY-MM-DD_Vendor_Amount_ShortPurpose.ext</t>
  </si>
  <si>
    <t xml:space="preserve">Examples:</t>
  </si>
  <si>
    <t xml:space="preserve">  2026-02-17_AWS_149.99_CloudHosting.pdf</t>
  </si>
  <si>
    <t xml:space="preserve">  2026-02-15_Staples_47.82_OfficeSupplies.jpg</t>
  </si>
  <si>
    <t xml:space="preserve">  2026-02-14_Delta_389.00_NYCFlight.pdf</t>
  </si>
  <si>
    <t xml:space="preserve">  2026-02-10_Zoom_14.99_MonthlySubscription.pdf</t>
  </si>
  <si>
    <t xml:space="preserve">Rules of thumb:</t>
  </si>
  <si>
    <t xml:space="preserve">• Date first so files sort chronologically in any file explorer.</t>
  </si>
  <si>
    <t xml:space="preserve">• Vendor name — short and recognizable (AWS not "Amazon Web Services Inc.").</t>
  </si>
  <si>
    <t xml:space="preserve">• Amount — include cents, no dollar sign, no commas.</t>
  </si>
  <si>
    <t xml:space="preserve">• ShortPurpose — 1-2 words, CamelCase, no spaces (OfficeSupplies, NYCFlight).</t>
  </si>
  <si>
    <t xml:space="preserve">• Use underscores between segments, not spaces or dashes.</t>
  </si>
  <si>
    <t xml:space="preserve">• File type: PDF preferred; photo (JPG/PNG) is fine for paper receipts.</t>
  </si>
  <si>
    <t xml:space="preserve">3. Getting a Shareable OneDrive Link</t>
  </si>
  <si>
    <t xml:space="preserve">For each receipt, paste a direct OneDrive link into the "Receipt Link" column. This makes receipts one click away for you, your cofounder, or your accountant.</t>
  </si>
  <si>
    <t xml:space="preserve">Quick steps:</t>
  </si>
  <si>
    <t xml:space="preserve">  1. Upload/save the receipt file to the correct month folder.</t>
  </si>
  <si>
    <t xml:space="preserve">  2. Right-click the file in OneDrive → "Share" or "Copy link".</t>
  </si>
  <si>
    <t xml:space="preserve">  3. Choose "Anyone with the link can view" (or restrict to specific people).</t>
  </si>
  <si>
    <t xml:space="preserve">  4. Copy the link and paste it into the Receipt Link column on the Expense Log tab.</t>
  </si>
  <si>
    <t xml:space="preserve">Tip: If you use OneDrive for Business, you can also use "Copy link" from the web app. Either way, the link should open the file directly in a browser.</t>
  </si>
  <si>
    <t xml:space="preserve">4. How to Use the Entry Form Tab</t>
  </si>
  <si>
    <t xml:space="preserve">The Entry Form tab lets you fill in one expense at a time using a simple form layout, then copy the result into the Expense Log. Here's the workflow:</t>
  </si>
  <si>
    <t xml:space="preserve">Step-by-step:</t>
  </si>
  <si>
    <t xml:space="preserve">  1. Go to the "Entry Form" tab.</t>
  </si>
  <si>
    <t xml:space="preserve">  2. Fill in each yellow input cell (Date, Vendor, Amount, etc.).</t>
  </si>
  <si>
    <t xml:space="preserve">  3. Dropdowns are provided for Category, Paid By, Payment Method, Reimbursable, and Status.</t>
  </si>
  <si>
    <t xml:space="preserve">  4. The green "Ready to Copy" row at the bottom auto-populates from your inputs.</t>
  </si>
  <si>
    <t xml:space="preserve">  5. Select the green row (cells B20:M20), press Ctrl+C to copy.</t>
  </si>
  <si>
    <t xml:space="preserve">  6. Switch to the "Expense Log" tab, click the next empty cell in column B.</t>
  </si>
  <si>
    <t xml:space="preserve">  7. Paste Values only (Ctrl+Shift+V in Excel, or right-click → Paste Special → Values).</t>
  </si>
  <si>
    <t xml:space="preserve">  8. Manually type the next ID number in column A.</t>
  </si>
  <si>
    <t xml:space="preserve">  9. Go back to the Entry Form and clear the yellow cells for the next entry.</t>
  </si>
  <si>
    <t xml:space="preserve">Why "Paste Values"? Because the green row contains formulas that reference the form. If you do a normal paste, you'll get broken formula references instead of the actual data.</t>
  </si>
  <si>
    <t xml:space="preserve">5. Expense Log Tips</t>
  </si>
  <si>
    <t xml:space="preserve">• Filters are already enabled on row 1 — click any header arrow to filter by date, category, vendor, etc.</t>
  </si>
  <si>
    <t xml:space="preserve">• The ID column is manual (just increment by 1). This gives you a stable reference number for each expense.</t>
  </si>
  <si>
    <t xml:space="preserve">• The "Receipt Filename" column is there so you can find the file even without clicking the link — useful if you ever need to search your OneDrive folder directly.</t>
  </si>
  <si>
    <t xml:space="preserve">• For reimbursements: filter Reimbursable = "Yes" and Reimb. Status = "To Submit" to see what's outstanding.</t>
  </si>
  <si>
    <t xml:space="preserve">6. Summary Tab</t>
  </si>
  <si>
    <t xml:space="preserve">The Summary tab auto-calculates totals and a category breakdown from your Expense Log. No manual updating needed — just keep adding rows to the log and the summary stays current.</t>
  </si>
  <si>
    <t xml:space="preserve">7. Customizing the Tracker</t>
  </si>
  <si>
    <t xml:space="preserve">All dropdown options are stored on the "Categories" tab. To add or change options:</t>
  </si>
  <si>
    <t xml:space="preserve">  • Add a new category: type it in the next empty row under column A on the Categories tab.</t>
  </si>
  <si>
    <t xml:space="preserve">  • Add a new payment method: column B.</t>
  </si>
  <si>
    <t xml:space="preserve">  • Add a new "Paid By" person: column C.</t>
  </si>
  <si>
    <t xml:space="preserve">  • Dropdowns on the Expense Log and Entry Form will pick up new values automatically (they reference the full range).</t>
  </si>
  <si>
    <t xml:space="preserve">If you need to extend the Expense Log beyond row 500, update the data validation ranges and the Summary formulas to cover the new rows.</t>
  </si>
  <si>
    <t xml:space="preserve">8. Exporting for Your Accountant</t>
  </si>
  <si>
    <t xml:space="preserve">When it's time to hand things off:</t>
  </si>
  <si>
    <t xml:space="preserve">  1. Filter the Expense Log to the relevant date range.</t>
  </si>
  <si>
    <t xml:space="preserve">  2. Copy the visible rows and paste into a new workbook (or export to CSV via File → Save As → CSV).</t>
  </si>
  <si>
    <t xml:space="preserve">  3. Share the OneDrive "Business Expenses" folder (read-only) so they can access all receipt files.</t>
  </si>
  <si>
    <t xml:space="preserve">  4. The Receipt Link column gives them direct access to each receipt without digging through folders.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</si>
</sst>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"/>
    <numFmt numFmtId="167" formatCode="\$#,##0.00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u val="single"/>
      <sz val="11"/>
      <color theme="10"/>
      <name val="Calibri"/>
      <family val="2"/>
      <charset val="1"/>
    </font>
    <font>
      <b val="true"/>
      <sz val="11"/>
      <color rgb="FF1F4E79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sz val="10"/>
      <color rgb="FFC0000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0"/>
        <bgColor rgb="FFFFFFFF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F0"/>
      <rgbColor rgb="FFF2F2F2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70AD47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1drv.ms/b/c/8acd056720e7c726/IQCIWwllRNBATIB9GL1XVhfDAb9RitccC95CWm4anXFHuKI?e=sNhVpI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15" hidden="false" customHeight="false" outlineLevel="0" collapsed="false">
      <c r="A5" s="2" t="s">
        <v>16</v>
      </c>
      <c r="B5" s="2" t="s">
        <v>17</v>
      </c>
      <c r="D5" s="2" t="s">
        <v>18</v>
      </c>
    </row>
    <row r="6" customFormat="false" ht="15" hidden="false" customHeight="false" outlineLevel="0" collapsed="false">
      <c r="A6" s="2" t="s">
        <v>19</v>
      </c>
      <c r="B6" s="2" t="s">
        <v>20</v>
      </c>
      <c r="D6" s="2" t="s">
        <v>21</v>
      </c>
    </row>
    <row r="7" customFormat="false" ht="15" hidden="false" customHeight="false" outlineLevel="0" collapsed="false">
      <c r="A7" s="2" t="s">
        <v>22</v>
      </c>
      <c r="B7" s="2" t="s">
        <v>23</v>
      </c>
    </row>
    <row r="8" customFormat="false" ht="15" hidden="false" customHeight="false" outlineLevel="0" collapsed="false">
      <c r="A8" s="2" t="s">
        <v>24</v>
      </c>
    </row>
    <row r="9" customFormat="false" ht="15" hidden="false" customHeight="false" outlineLevel="0" collapsed="false">
      <c r="A9" s="2" t="s">
        <v>25</v>
      </c>
    </row>
    <row r="10" customFormat="false" ht="15" hidden="false" customHeight="false" outlineLevel="0" collapsed="false">
      <c r="A10" s="2" t="s">
        <v>26</v>
      </c>
    </row>
    <row r="11" customFormat="false" ht="15" hidden="false" customHeight="false" outlineLevel="0" collapsed="false">
      <c r="A11" s="2" t="s">
        <v>27</v>
      </c>
    </row>
    <row r="12" customFormat="false" ht="15" hidden="false" customHeight="false" outlineLevel="0" collapsed="false">
      <c r="A12" s="2" t="s">
        <v>28</v>
      </c>
    </row>
    <row r="13" customFormat="false" ht="15" hidden="false" customHeight="false" outlineLevel="0" collapsed="false">
      <c r="A13" s="2" t="s">
        <v>29</v>
      </c>
    </row>
    <row r="14" customFormat="false" ht="15" hidden="false" customHeight="false" outlineLevel="0" collapsed="false">
      <c r="A14" s="2" t="s">
        <v>30</v>
      </c>
    </row>
    <row r="15" customFormat="false" ht="15" hidden="false" customHeight="false" outlineLevel="0" collapsed="false">
      <c r="A15" s="2" t="s">
        <v>31</v>
      </c>
    </row>
    <row r="16" customFormat="false" ht="15" hidden="false" customHeight="false" outlineLevel="0" collapsed="false">
      <c r="A16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G2" activePane="bottomLeft" state="frozen"/>
      <selection pane="topLeft" activeCell="A1" activeCellId="0" sqref="A1"/>
      <selection pane="bottomLeft" activeCell="M10" activeCellId="0" sqref="M1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3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42"/>
    <col collapsed="false" customWidth="true" hidden="false" outlineLevel="0" max="12" min="12" style="0" width="58.29"/>
    <col collapsed="false" customWidth="true" hidden="false" outlineLevel="0" max="13" min="13" style="0" width="55.71"/>
  </cols>
  <sheetData>
    <row r="1" customFormat="false" ht="30" hidden="false" customHeight="true" outlineLevel="0" collapsed="false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2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customFormat="false" ht="15" hidden="false" customHeight="false" outlineLevel="0" collapsed="false">
      <c r="A2" s="3" t="n">
        <v>1</v>
      </c>
      <c r="B2" s="4" t="n">
        <v>46037</v>
      </c>
      <c r="C2" s="3" t="s">
        <v>45</v>
      </c>
      <c r="D2" s="5" t="n">
        <v>149.99</v>
      </c>
      <c r="E2" s="3" t="s">
        <v>4</v>
      </c>
      <c r="F2" s="3" t="s">
        <v>46</v>
      </c>
      <c r="G2" s="3" t="s">
        <v>6</v>
      </c>
      <c r="H2" s="3" t="s">
        <v>5</v>
      </c>
      <c r="I2" s="3" t="s">
        <v>47</v>
      </c>
      <c r="J2" s="3" t="s">
        <v>7</v>
      </c>
      <c r="K2" s="3" t="s">
        <v>48</v>
      </c>
      <c r="L2" s="3" t="s">
        <v>49</v>
      </c>
      <c r="M2" s="3"/>
    </row>
    <row r="3" customFormat="false" ht="15" hidden="false" customHeight="false" outlineLevel="0" collapsed="false">
      <c r="A3" s="3" t="n">
        <v>2</v>
      </c>
      <c r="B3" s="4" t="n">
        <v>46044</v>
      </c>
      <c r="C3" s="3" t="s">
        <v>50</v>
      </c>
      <c r="D3" s="5" t="n">
        <v>47.82</v>
      </c>
      <c r="E3" s="3" t="s">
        <v>12</v>
      </c>
      <c r="F3" s="3" t="s">
        <v>51</v>
      </c>
      <c r="G3" s="3" t="s">
        <v>10</v>
      </c>
      <c r="H3" s="3" t="s">
        <v>9</v>
      </c>
      <c r="I3" s="3" t="s">
        <v>52</v>
      </c>
      <c r="J3" s="3" t="s">
        <v>15</v>
      </c>
      <c r="K3" s="3" t="s">
        <v>53</v>
      </c>
      <c r="L3" s="3" t="s">
        <v>54</v>
      </c>
      <c r="M3" s="3"/>
    </row>
    <row r="4" customFormat="false" ht="15" hidden="false" customHeight="false" outlineLevel="0" collapsed="false">
      <c r="A4" s="3" t="n">
        <v>3</v>
      </c>
      <c r="B4" s="4" t="n">
        <v>46056</v>
      </c>
      <c r="C4" s="3" t="s">
        <v>55</v>
      </c>
      <c r="D4" s="5" t="n">
        <v>389</v>
      </c>
      <c r="E4" s="3" t="s">
        <v>16</v>
      </c>
      <c r="F4" s="3" t="s">
        <v>56</v>
      </c>
      <c r="G4" s="3" t="s">
        <v>6</v>
      </c>
      <c r="H4" s="3" t="s">
        <v>5</v>
      </c>
      <c r="I4" s="3" t="s">
        <v>47</v>
      </c>
      <c r="J4" s="3" t="s">
        <v>7</v>
      </c>
      <c r="K4" s="3" t="s">
        <v>57</v>
      </c>
      <c r="L4" s="3" t="s">
        <v>58</v>
      </c>
      <c r="M4" s="3"/>
    </row>
    <row r="5" customFormat="false" ht="15" hidden="false" customHeight="false" outlineLevel="0" collapsed="false">
      <c r="A5" s="3" t="n">
        <v>4</v>
      </c>
      <c r="B5" s="4" t="n">
        <v>46063</v>
      </c>
      <c r="C5" s="3" t="s">
        <v>59</v>
      </c>
      <c r="D5" s="5" t="n">
        <v>14.99</v>
      </c>
      <c r="E5" s="3" t="s">
        <v>4</v>
      </c>
      <c r="F5" s="3" t="s">
        <v>60</v>
      </c>
      <c r="G5" s="3" t="s">
        <v>14</v>
      </c>
      <c r="H5" s="3" t="s">
        <v>13</v>
      </c>
      <c r="I5" s="3" t="s">
        <v>47</v>
      </c>
      <c r="J5" s="3" t="s">
        <v>7</v>
      </c>
      <c r="K5" s="3"/>
      <c r="L5" s="3" t="s">
        <v>61</v>
      </c>
      <c r="M5" s="3" t="s">
        <v>62</v>
      </c>
    </row>
    <row r="6" customFormat="false" ht="15" hidden="false" customHeight="false" outlineLevel="0" collapsed="false">
      <c r="A6" s="3" t="n">
        <v>5</v>
      </c>
      <c r="B6" s="4" t="n">
        <v>46067</v>
      </c>
      <c r="C6" s="3" t="s">
        <v>63</v>
      </c>
      <c r="D6" s="5" t="n">
        <v>32.5</v>
      </c>
      <c r="E6" s="3" t="s">
        <v>22</v>
      </c>
      <c r="F6" s="3" t="s">
        <v>64</v>
      </c>
      <c r="G6" s="3" t="s">
        <v>6</v>
      </c>
      <c r="H6" s="3" t="s">
        <v>9</v>
      </c>
      <c r="I6" s="3" t="s">
        <v>52</v>
      </c>
      <c r="J6" s="3" t="s">
        <v>11</v>
      </c>
      <c r="K6" s="3" t="s">
        <v>65</v>
      </c>
      <c r="L6" s="3" t="s">
        <v>66</v>
      </c>
      <c r="M6" s="3"/>
    </row>
    <row r="7" customFormat="false" ht="15" hidden="false" customHeight="false" outlineLevel="0" collapsed="false">
      <c r="A7" s="3" t="n">
        <v>6</v>
      </c>
      <c r="B7" s="4" t="n">
        <v>46071</v>
      </c>
      <c r="C7" s="3" t="s">
        <v>67</v>
      </c>
      <c r="D7" s="5" t="n">
        <v>219</v>
      </c>
      <c r="E7" s="3" t="s">
        <v>19</v>
      </c>
      <c r="F7" s="3" t="s">
        <v>68</v>
      </c>
      <c r="G7" s="3" t="s">
        <v>10</v>
      </c>
      <c r="H7" s="3" t="s">
        <v>9</v>
      </c>
      <c r="I7" s="3" t="s">
        <v>52</v>
      </c>
      <c r="J7" s="3" t="s">
        <v>18</v>
      </c>
      <c r="K7" s="3" t="s">
        <v>69</v>
      </c>
      <c r="L7" s="3" t="s">
        <v>70</v>
      </c>
      <c r="M7" s="3"/>
    </row>
    <row r="8" customFormat="false" ht="15" hidden="false" customHeight="false" outlineLevel="0" collapsed="false">
      <c r="A8" s="3" t="n">
        <v>7</v>
      </c>
      <c r="B8" s="4" t="n">
        <v>46082</v>
      </c>
      <c r="C8" s="3" t="s">
        <v>71</v>
      </c>
      <c r="D8" s="5" t="n">
        <v>500</v>
      </c>
      <c r="E8" s="3" t="s">
        <v>26</v>
      </c>
      <c r="F8" s="3" t="s">
        <v>72</v>
      </c>
      <c r="G8" s="3" t="s">
        <v>14</v>
      </c>
      <c r="H8" s="3" t="s">
        <v>5</v>
      </c>
      <c r="I8" s="3" t="s">
        <v>47</v>
      </c>
      <c r="J8" s="3" t="s">
        <v>7</v>
      </c>
      <c r="K8" s="3"/>
      <c r="L8" s="3"/>
      <c r="M8" s="3" t="s">
        <v>73</v>
      </c>
    </row>
    <row r="9" customFormat="false" ht="15" hidden="false" customHeight="false" outlineLevel="0" collapsed="false">
      <c r="A9" s="3" t="n">
        <v>8</v>
      </c>
      <c r="B9" s="4" t="n">
        <v>46086</v>
      </c>
      <c r="C9" s="3" t="s">
        <v>74</v>
      </c>
      <c r="D9" s="5" t="n">
        <v>86.4</v>
      </c>
      <c r="E9" s="3" t="s">
        <v>24</v>
      </c>
      <c r="F9" s="3" t="s">
        <v>75</v>
      </c>
      <c r="G9" s="3" t="s">
        <v>6</v>
      </c>
      <c r="H9" s="3" t="s">
        <v>9</v>
      </c>
      <c r="I9" s="3" t="s">
        <v>52</v>
      </c>
      <c r="J9" s="3" t="s">
        <v>11</v>
      </c>
      <c r="K9" s="3" t="s">
        <v>76</v>
      </c>
      <c r="L9" s="3" t="s">
        <v>77</v>
      </c>
      <c r="M9" s="3" t="s">
        <v>78</v>
      </c>
    </row>
  </sheetData>
  <autoFilter ref="A1:M1"/>
  <dataValidations count="1">
    <dataValidation allowBlank="true" errorStyle="stop" operator="between" showDropDown="false" showErrorMessage="false" showInputMessage="false" sqref="I2:I49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8" hidden="false" customHeight="true" outlineLevel="0" collapsed="false">
      <c r="A1" s="6" t="s">
        <v>79</v>
      </c>
    </row>
    <row r="3" customFormat="false" ht="15" hidden="false" customHeight="false" outlineLevel="0" collapsed="false">
      <c r="A3" s="7" t="s">
        <v>80</v>
      </c>
      <c r="B3" s="8" t="n">
        <f aca="false">SUM('Expense Log'!D2:D496)</f>
        <v>1439.7</v>
      </c>
    </row>
    <row r="4" customFormat="false" ht="15" hidden="false" customHeight="false" outlineLevel="0" collapsed="false">
      <c r="A4" s="7" t="s">
        <v>81</v>
      </c>
      <c r="B4" s="8" t="n">
        <f aca="false">SUMIF('Expense Log'!I2:I496,"Yes",'Expense Log'!D2:D496)</f>
        <v>385.72</v>
      </c>
    </row>
    <row r="5" customFormat="false" ht="15" hidden="false" customHeight="false" outlineLevel="0" collapsed="false">
      <c r="A5" s="7" t="s">
        <v>82</v>
      </c>
      <c r="B5" s="7" t="n">
        <f aca="false">COUNTA('Expense Log'!A2:A496)</f>
        <v>8</v>
      </c>
    </row>
    <row r="7" customFormat="false" ht="15.75" hidden="false" customHeight="true" outlineLevel="0" collapsed="false">
      <c r="A7" s="9" t="s">
        <v>83</v>
      </c>
    </row>
    <row r="8" customFormat="false" ht="15" hidden="false" customHeight="false" outlineLevel="0" collapsed="false">
      <c r="A8" s="1" t="s">
        <v>37</v>
      </c>
      <c r="B8" s="1" t="s">
        <v>84</v>
      </c>
      <c r="C8" s="1" t="s">
        <v>85</v>
      </c>
    </row>
    <row r="9" customFormat="false" ht="15" hidden="false" customHeight="false" outlineLevel="0" collapsed="false">
      <c r="A9" s="10" t="s">
        <v>4</v>
      </c>
      <c r="B9" s="11" t="n">
        <f aca="false">SUMIF('Expense Log'!E2:E496,A9,'Expense Log'!D2:D496)</f>
        <v>164.98</v>
      </c>
      <c r="C9" s="12" t="n">
        <f aca="false">IF(B$3=0,0,B9/B$3)</f>
        <v>0.114593318052372</v>
      </c>
    </row>
    <row r="10" customFormat="false" ht="15" hidden="false" customHeight="false" outlineLevel="0" collapsed="false">
      <c r="A10" s="10" t="s">
        <v>8</v>
      </c>
      <c r="B10" s="11" t="n">
        <f aca="false">SUMIF('Expense Log'!E2:E496,A10,'Expense Log'!D2:D496)</f>
        <v>0</v>
      </c>
      <c r="C10" s="12" t="n">
        <f aca="false">IF(B$3=0,0,B10/B$3)</f>
        <v>0</v>
      </c>
    </row>
    <row r="11" customFormat="false" ht="15" hidden="false" customHeight="false" outlineLevel="0" collapsed="false">
      <c r="A11" s="10" t="s">
        <v>12</v>
      </c>
      <c r="B11" s="11" t="n">
        <f aca="false">SUMIF('Expense Log'!E2:E496,A11,'Expense Log'!D2:D496)</f>
        <v>47.82</v>
      </c>
      <c r="C11" s="12" t="n">
        <f aca="false">IF(B$3=0,0,B11/B$3)</f>
        <v>0.0332152531777454</v>
      </c>
    </row>
    <row r="12" customFormat="false" ht="15" hidden="false" customHeight="false" outlineLevel="0" collapsed="false">
      <c r="A12" s="10" t="s">
        <v>16</v>
      </c>
      <c r="B12" s="11" t="n">
        <f aca="false">SUMIF('Expense Log'!E2:E496,A12,'Expense Log'!D2:D496)</f>
        <v>389</v>
      </c>
      <c r="C12" s="12" t="n">
        <f aca="false">IF(B$3=0,0,B12/B$3)</f>
        <v>0.270195179551295</v>
      </c>
    </row>
    <row r="13" customFormat="false" ht="15" hidden="false" customHeight="false" outlineLevel="0" collapsed="false">
      <c r="A13" s="10" t="s">
        <v>19</v>
      </c>
      <c r="B13" s="11" t="n">
        <f aca="false">SUMIF('Expense Log'!E2:E496,A13,'Expense Log'!D2:D496)</f>
        <v>219</v>
      </c>
      <c r="C13" s="12" t="n">
        <f aca="false">IF(B$3=0,0,B13/B$3)</f>
        <v>0.152115023963326</v>
      </c>
    </row>
    <row r="14" customFormat="false" ht="15" hidden="false" customHeight="false" outlineLevel="0" collapsed="false">
      <c r="A14" s="10" t="s">
        <v>22</v>
      </c>
      <c r="B14" s="11" t="n">
        <f aca="false">SUMIF('Expense Log'!E2:E496,A14,'Expense Log'!D2:D496)</f>
        <v>32.5</v>
      </c>
      <c r="C14" s="12" t="n">
        <f aca="false">IF(B$3=0,0,B14/B$3)</f>
        <v>0.0225741473918177</v>
      </c>
    </row>
    <row r="15" customFormat="false" ht="15" hidden="false" customHeight="false" outlineLevel="0" collapsed="false">
      <c r="A15" s="10" t="s">
        <v>24</v>
      </c>
      <c r="B15" s="11" t="n">
        <f aca="false">SUMIF('Expense Log'!E2:E496,A15,'Expense Log'!D2:D496)</f>
        <v>86.4</v>
      </c>
      <c r="C15" s="12" t="n">
        <f aca="false">IF(B$3=0,0,B15/B$3)</f>
        <v>0.0600125026047093</v>
      </c>
    </row>
    <row r="16" customFormat="false" ht="15" hidden="false" customHeight="false" outlineLevel="0" collapsed="false">
      <c r="A16" s="10" t="s">
        <v>25</v>
      </c>
      <c r="B16" s="11" t="n">
        <f aca="false">SUMIF('Expense Log'!E2:E496,A16,'Expense Log'!D2:D496)</f>
        <v>0</v>
      </c>
      <c r="C16" s="12" t="n">
        <f aca="false">IF(B$3=0,0,B16/B$3)</f>
        <v>0</v>
      </c>
    </row>
    <row r="17" customFormat="false" ht="15" hidden="false" customHeight="false" outlineLevel="0" collapsed="false">
      <c r="A17" s="10" t="s">
        <v>26</v>
      </c>
      <c r="B17" s="11" t="n">
        <f aca="false">SUMIF('Expense Log'!E2:E496,A17,'Expense Log'!D2:D496)</f>
        <v>500</v>
      </c>
      <c r="C17" s="12" t="n">
        <f aca="false">IF(B$3=0,0,B17/B$3)</f>
        <v>0.347294575258735</v>
      </c>
    </row>
    <row r="18" customFormat="false" ht="15" hidden="false" customHeight="false" outlineLevel="0" collapsed="false">
      <c r="A18" s="10" t="s">
        <v>27</v>
      </c>
      <c r="B18" s="11" t="n">
        <f aca="false">SUMIF('Expense Log'!E2:E496,A18,'Expense Log'!D2:D496)</f>
        <v>0</v>
      </c>
      <c r="C18" s="12" t="n">
        <f aca="false">IF(B$3=0,0,B18/B$3)</f>
        <v>0</v>
      </c>
    </row>
    <row r="19" customFormat="false" ht="15" hidden="false" customHeight="false" outlineLevel="0" collapsed="false">
      <c r="A19" s="10" t="s">
        <v>28</v>
      </c>
      <c r="B19" s="11" t="n">
        <f aca="false">SUMIF('Expense Log'!E2:E496,A19,'Expense Log'!D2:D496)</f>
        <v>0</v>
      </c>
      <c r="C19" s="12" t="n">
        <f aca="false">IF(B$3=0,0,B19/B$3)</f>
        <v>0</v>
      </c>
    </row>
    <row r="20" customFormat="false" ht="15" hidden="false" customHeight="false" outlineLevel="0" collapsed="false">
      <c r="A20" s="10" t="s">
        <v>29</v>
      </c>
      <c r="B20" s="11" t="n">
        <f aca="false">SUMIF('Expense Log'!E2:E496,A20,'Expense Log'!D2:D496)</f>
        <v>0</v>
      </c>
      <c r="C20" s="12" t="n">
        <f aca="false">IF(B$3=0,0,B20/B$3)</f>
        <v>0</v>
      </c>
    </row>
    <row r="21" customFormat="false" ht="15" hidden="false" customHeight="false" outlineLevel="0" collapsed="false">
      <c r="A21" s="10" t="s">
        <v>30</v>
      </c>
      <c r="B21" s="11" t="n">
        <f aca="false">SUMIF('Expense Log'!E2:E496,A21,'Expense Log'!D2:D496)</f>
        <v>0</v>
      </c>
      <c r="C21" s="12" t="n">
        <f aca="false">IF(B$3=0,0,B21/B$3)</f>
        <v>0</v>
      </c>
    </row>
    <row r="22" customFormat="false" ht="15" hidden="false" customHeight="false" outlineLevel="0" collapsed="false">
      <c r="A22" s="10" t="s">
        <v>31</v>
      </c>
      <c r="B22" s="11" t="n">
        <f aca="false">SUMIF('Expense Log'!E2:E496,A22,'Expense Log'!D2:D496)</f>
        <v>0</v>
      </c>
      <c r="C22" s="12" t="n">
        <f aca="false">IF(B$3=0,0,B22/B$3)</f>
        <v>0</v>
      </c>
    </row>
    <row r="23" customFormat="false" ht="15" hidden="false" customHeight="false" outlineLevel="0" collapsed="false">
      <c r="A23" s="10" t="s">
        <v>32</v>
      </c>
      <c r="B23" s="11" t="n">
        <f aca="false">SUMIF('Expense Log'!E2:E496,A23,'Expense Log'!D2:D496)</f>
        <v>0</v>
      </c>
      <c r="C23" s="12" t="n">
        <f aca="false">IF(B$3=0,0,B23/B$3)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2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7" min="7" style="0" width="40"/>
    <col collapsed="false" customWidth="true" hidden="false" outlineLevel="0" max="13" min="8" style="0" width="16"/>
  </cols>
  <sheetData>
    <row r="2" customFormat="false" ht="19.5" hidden="false" customHeight="true" outlineLevel="0" collapsed="false">
      <c r="B2" s="13" t="s">
        <v>86</v>
      </c>
      <c r="C2" s="13"/>
      <c r="D2" s="13"/>
      <c r="E2" s="13"/>
      <c r="F2" s="13"/>
    </row>
    <row r="3" customFormat="false" ht="21.75" hidden="false" customHeight="true" outlineLevel="0" collapsed="false">
      <c r="B3" s="14" t="s">
        <v>87</v>
      </c>
      <c r="C3" s="14"/>
      <c r="D3" s="14"/>
      <c r="E3" s="14"/>
      <c r="F3" s="14"/>
    </row>
    <row r="5" customFormat="false" ht="15" hidden="false" customHeight="false" outlineLevel="0" collapsed="false">
      <c r="B5" s="15" t="s">
        <v>34</v>
      </c>
      <c r="C5" s="16" t="s">
        <v>88</v>
      </c>
      <c r="D5" s="16"/>
      <c r="E5" s="16"/>
      <c r="F5" s="16"/>
      <c r="G5" s="17" t="s">
        <v>89</v>
      </c>
    </row>
    <row r="6" customFormat="false" ht="15" hidden="false" customHeight="false" outlineLevel="0" collapsed="false">
      <c r="B6" s="15" t="s">
        <v>35</v>
      </c>
      <c r="C6" s="18" t="s">
        <v>90</v>
      </c>
      <c r="D6" s="18"/>
      <c r="E6" s="18"/>
      <c r="F6" s="18"/>
      <c r="G6" s="17" t="s">
        <v>91</v>
      </c>
    </row>
    <row r="7" customFormat="false" ht="15" hidden="false" customHeight="false" outlineLevel="0" collapsed="false">
      <c r="B7" s="15" t="s">
        <v>36</v>
      </c>
      <c r="C7" s="19" t="n">
        <v>29.99</v>
      </c>
      <c r="D7" s="19"/>
      <c r="E7" s="19"/>
      <c r="F7" s="19"/>
      <c r="G7" s="17" t="s">
        <v>92</v>
      </c>
    </row>
    <row r="8" customFormat="false" ht="15" hidden="false" customHeight="false" outlineLevel="0" collapsed="false">
      <c r="B8" s="15" t="s">
        <v>37</v>
      </c>
      <c r="C8" s="18" t="s">
        <v>12</v>
      </c>
      <c r="D8" s="18"/>
      <c r="E8" s="18"/>
      <c r="F8" s="18"/>
      <c r="G8" s="17" t="s">
        <v>93</v>
      </c>
    </row>
    <row r="9" customFormat="false" ht="15" hidden="false" customHeight="false" outlineLevel="0" collapsed="false">
      <c r="B9" s="15" t="s">
        <v>38</v>
      </c>
      <c r="C9" s="18" t="s">
        <v>94</v>
      </c>
      <c r="D9" s="18"/>
      <c r="E9" s="18"/>
      <c r="F9" s="18"/>
      <c r="G9" s="17" t="s">
        <v>95</v>
      </c>
    </row>
    <row r="10" customFormat="false" ht="15" hidden="false" customHeight="false" outlineLevel="0" collapsed="false">
      <c r="B10" s="15" t="s">
        <v>2</v>
      </c>
      <c r="C10" s="18" t="s">
        <v>6</v>
      </c>
      <c r="D10" s="18"/>
      <c r="E10" s="18"/>
      <c r="F10" s="18"/>
      <c r="G10" s="17" t="s">
        <v>93</v>
      </c>
    </row>
    <row r="11" customFormat="false" ht="15" hidden="false" customHeight="false" outlineLevel="0" collapsed="false">
      <c r="B11" s="15" t="s">
        <v>39</v>
      </c>
      <c r="C11" s="18" t="s">
        <v>9</v>
      </c>
      <c r="D11" s="18"/>
      <c r="E11" s="18"/>
      <c r="F11" s="18"/>
      <c r="G11" s="17" t="s">
        <v>93</v>
      </c>
    </row>
    <row r="12" customFormat="false" ht="15" hidden="false" customHeight="false" outlineLevel="0" collapsed="false">
      <c r="B12" s="15" t="s">
        <v>40</v>
      </c>
      <c r="C12" s="18" t="s">
        <v>52</v>
      </c>
      <c r="D12" s="18"/>
      <c r="E12" s="18"/>
      <c r="F12" s="18"/>
      <c r="G12" s="17" t="s">
        <v>96</v>
      </c>
    </row>
    <row r="13" customFormat="false" ht="15" hidden="false" customHeight="false" outlineLevel="0" collapsed="false">
      <c r="B13" s="15" t="s">
        <v>41</v>
      </c>
      <c r="C13" s="18" t="s">
        <v>11</v>
      </c>
      <c r="D13" s="18"/>
      <c r="E13" s="18"/>
      <c r="F13" s="18"/>
      <c r="G13" s="17" t="s">
        <v>93</v>
      </c>
    </row>
    <row r="14" customFormat="false" ht="15" hidden="false" customHeight="false" outlineLevel="0" collapsed="false">
      <c r="B14" s="15" t="s">
        <v>42</v>
      </c>
      <c r="C14" s="20" t="s">
        <v>97</v>
      </c>
      <c r="D14" s="20"/>
      <c r="E14" s="20"/>
      <c r="F14" s="20"/>
      <c r="G14" s="17" t="s">
        <v>98</v>
      </c>
    </row>
    <row r="15" customFormat="false" ht="15" hidden="false" customHeight="false" outlineLevel="0" collapsed="false">
      <c r="B15" s="15" t="s">
        <v>43</v>
      </c>
      <c r="C15" s="18" t="s">
        <v>99</v>
      </c>
      <c r="D15" s="18"/>
      <c r="E15" s="18"/>
      <c r="F15" s="18"/>
      <c r="G15" s="17" t="s">
        <v>100</v>
      </c>
    </row>
    <row r="16" customFormat="false" ht="15" hidden="false" customHeight="false" outlineLevel="0" collapsed="false">
      <c r="B16" s="15" t="s">
        <v>44</v>
      </c>
      <c r="C16" s="18"/>
      <c r="D16" s="18"/>
      <c r="E16" s="18"/>
      <c r="F16" s="18"/>
      <c r="G16" s="17" t="s">
        <v>101</v>
      </c>
    </row>
    <row r="18" customFormat="false" ht="15" hidden="false" customHeight="false" outlineLevel="0" collapsed="false">
      <c r="B18" s="21" t="s">
        <v>102</v>
      </c>
      <c r="C18" s="21"/>
      <c r="D18" s="21"/>
      <c r="E18" s="21"/>
      <c r="F18" s="21"/>
    </row>
    <row r="19" customFormat="false" ht="15" hidden="false" customHeight="false" outlineLevel="0" collapsed="false">
      <c r="B19" s="22" t="s">
        <v>34</v>
      </c>
      <c r="C19" s="22" t="s">
        <v>35</v>
      </c>
      <c r="D19" s="22" t="s">
        <v>36</v>
      </c>
      <c r="E19" s="22" t="s">
        <v>37</v>
      </c>
      <c r="F19" s="22" t="s">
        <v>38</v>
      </c>
      <c r="G19" s="22" t="s">
        <v>2</v>
      </c>
      <c r="H19" s="22" t="s">
        <v>39</v>
      </c>
      <c r="I19" s="22" t="s">
        <v>40</v>
      </c>
      <c r="J19" s="22" t="s">
        <v>41</v>
      </c>
      <c r="K19" s="22" t="s">
        <v>42</v>
      </c>
      <c r="L19" s="22" t="s">
        <v>43</v>
      </c>
      <c r="M19" s="22" t="s">
        <v>44</v>
      </c>
    </row>
    <row r="20" customFormat="false" ht="15" hidden="false" customHeight="false" outlineLevel="0" collapsed="false">
      <c r="B20" s="23" t="str">
        <f aca="false">C5</f>
        <v>2026-03-01</v>
      </c>
      <c r="C20" s="24" t="str">
        <f aca="false">C6</f>
        <v>Staples</v>
      </c>
      <c r="D20" s="25" t="n">
        <f aca="false">C7</f>
        <v>29.99</v>
      </c>
      <c r="E20" s="24" t="str">
        <f aca="false">C8</f>
        <v>Office Supplies</v>
      </c>
      <c r="F20" s="24" t="str">
        <f aca="false">C9</f>
        <v>Pens and notebooks</v>
      </c>
      <c r="G20" s="24" t="str">
        <f aca="false">C10</f>
        <v>John Smith</v>
      </c>
      <c r="H20" s="24" t="str">
        <f aca="false">C11</f>
        <v>Personal Card</v>
      </c>
      <c r="I20" s="24" t="str">
        <f aca="false">C12</f>
        <v>Yes</v>
      </c>
      <c r="J20" s="24" t="str">
        <f aca="false">C13</f>
        <v>To Submit</v>
      </c>
      <c r="K20" s="24" t="str">
        <f aca="false">C14</f>
        <v>https://example.com/receipt-link</v>
      </c>
      <c r="L20" s="24" t="str">
        <f aca="false">C15</f>
        <v>2026-03-01_Staples_29.99_OfficeSupplies.pdf</v>
      </c>
      <c r="M20" s="24" t="n">
        <f aca="false">C16</f>
        <v>0</v>
      </c>
    </row>
    <row r="23" customFormat="false" ht="15" hidden="false" customHeight="true" outlineLevel="0" collapsed="false">
      <c r="B23" s="26" t="s">
        <v>103</v>
      </c>
      <c r="C23" s="26"/>
      <c r="D23" s="26"/>
      <c r="E23" s="26"/>
      <c r="F23" s="26"/>
    </row>
    <row r="24" customFormat="false" ht="15" hidden="false" customHeight="false" outlineLevel="0" collapsed="false">
      <c r="B24" s="26"/>
      <c r="C24" s="26"/>
      <c r="D24" s="26"/>
      <c r="E24" s="26"/>
      <c r="F24" s="26"/>
    </row>
    <row r="25" customFormat="false" ht="15" hidden="false" customHeight="false" outlineLevel="0" collapsed="false">
      <c r="B25" s="26"/>
      <c r="C25" s="26"/>
      <c r="D25" s="26"/>
      <c r="E25" s="26"/>
      <c r="F25" s="26"/>
    </row>
    <row r="26" customFormat="false" ht="15" hidden="false" customHeight="false" outlineLevel="0" collapsed="false">
      <c r="B26" s="26"/>
      <c r="C26" s="26"/>
      <c r="D26" s="26"/>
      <c r="E26" s="26"/>
      <c r="F26" s="26"/>
    </row>
    <row r="27" customFormat="false" ht="15" hidden="false" customHeight="false" outlineLevel="0" collapsed="false">
      <c r="B27" s="26"/>
      <c r="C27" s="26"/>
      <c r="D27" s="26"/>
      <c r="E27" s="26"/>
      <c r="F27" s="26"/>
    </row>
  </sheetData>
  <mergeCells count="16">
    <mergeCell ref="B2:F2"/>
    <mergeCell ref="B3:F3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B18:F18"/>
    <mergeCell ref="B23:F27"/>
  </mergeCells>
  <dataValidations count="1">
    <dataValidation allowBlank="true" errorStyle="stop" operator="between" showDropDown="false" showErrorMessage="false" showInputMessage="false" sqref="C12" type="list">
      <formula1>"Yes,No"</formula1>
      <formula2>0</formula2>
    </dataValidation>
  </dataValidations>
  <hyperlinks>
    <hyperlink ref="C14" r:id="rId1" display="https://example.com/receipt-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1:B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21" hidden="false" customHeight="true" outlineLevel="0" collapsed="false">
      <c r="B1" s="27" t="s">
        <v>104</v>
      </c>
    </row>
    <row r="3" customFormat="false" ht="18" hidden="false" customHeight="true" outlineLevel="0" collapsed="false">
      <c r="B3" s="28" t="s">
        <v>105</v>
      </c>
    </row>
    <row r="5" customFormat="false" ht="27.75" hidden="false" customHeight="true" outlineLevel="0" collapsed="false">
      <c r="B5" s="29" t="s">
        <v>106</v>
      </c>
    </row>
    <row r="7" customFormat="false" ht="15" hidden="false" customHeight="false" outlineLevel="0" collapsed="false">
      <c r="B7" s="30" t="s">
        <v>107</v>
      </c>
    </row>
    <row r="9" customFormat="false" ht="15" hidden="false" customHeight="false" outlineLevel="0" collapsed="false">
      <c r="B9" s="31" t="s">
        <v>108</v>
      </c>
    </row>
    <row r="10" customFormat="false" ht="15" hidden="false" customHeight="false" outlineLevel="0" collapsed="false">
      <c r="B10" s="31" t="s">
        <v>109</v>
      </c>
    </row>
    <row r="11" customFormat="false" ht="15" hidden="false" customHeight="false" outlineLevel="0" collapsed="false">
      <c r="B11" s="31" t="s">
        <v>110</v>
      </c>
    </row>
    <row r="12" customFormat="false" ht="15" hidden="false" customHeight="false" outlineLevel="0" collapsed="false">
      <c r="B12" s="31" t="s">
        <v>111</v>
      </c>
    </row>
    <row r="13" customFormat="false" ht="15" hidden="false" customHeight="false" outlineLevel="0" collapsed="false">
      <c r="B13" s="31" t="s">
        <v>112</v>
      </c>
    </row>
    <row r="14" customFormat="false" ht="15" hidden="false" customHeight="false" outlineLevel="0" collapsed="false">
      <c r="B14" s="31" t="s">
        <v>113</v>
      </c>
    </row>
    <row r="15" customFormat="false" ht="15" hidden="false" customHeight="false" outlineLevel="0" collapsed="false">
      <c r="B15" s="31" t="s">
        <v>114</v>
      </c>
    </row>
    <row r="16" customFormat="false" ht="15" hidden="false" customHeight="false" outlineLevel="0" collapsed="false">
      <c r="B16" s="31" t="s">
        <v>115</v>
      </c>
    </row>
    <row r="18" customFormat="false" ht="42" hidden="false" customHeight="true" outlineLevel="0" collapsed="false">
      <c r="B18" s="29" t="s">
        <v>116</v>
      </c>
    </row>
    <row r="20" customFormat="false" ht="18" hidden="false" customHeight="true" outlineLevel="0" collapsed="false">
      <c r="B20" s="28" t="s">
        <v>117</v>
      </c>
    </row>
    <row r="22" customFormat="false" ht="15" hidden="false" customHeight="false" outlineLevel="0" collapsed="false">
      <c r="B22" s="32" t="s">
        <v>118</v>
      </c>
    </row>
    <row r="24" customFormat="false" ht="15" hidden="false" customHeight="false" outlineLevel="0" collapsed="false">
      <c r="B24" s="30" t="s">
        <v>119</v>
      </c>
    </row>
    <row r="25" customFormat="false" ht="15" hidden="false" customHeight="false" outlineLevel="0" collapsed="false">
      <c r="B25" s="31" t="s">
        <v>120</v>
      </c>
    </row>
    <row r="26" customFormat="false" ht="15" hidden="false" customHeight="false" outlineLevel="0" collapsed="false">
      <c r="B26" s="31" t="s">
        <v>121</v>
      </c>
    </row>
    <row r="27" customFormat="false" ht="15" hidden="false" customHeight="false" outlineLevel="0" collapsed="false">
      <c r="B27" s="31" t="s">
        <v>122</v>
      </c>
    </row>
    <row r="28" customFormat="false" ht="15" hidden="false" customHeight="false" outlineLevel="0" collapsed="false">
      <c r="B28" s="31" t="s">
        <v>123</v>
      </c>
    </row>
    <row r="30" customFormat="false" ht="15" hidden="false" customHeight="false" outlineLevel="0" collapsed="false">
      <c r="B30" s="30" t="s">
        <v>124</v>
      </c>
    </row>
    <row r="31" customFormat="false" ht="15" hidden="false" customHeight="false" outlineLevel="0" collapsed="false">
      <c r="B31" s="29" t="s">
        <v>125</v>
      </c>
    </row>
    <row r="32" customFormat="false" ht="15" hidden="false" customHeight="false" outlineLevel="0" collapsed="false">
      <c r="B32" s="29" t="s">
        <v>126</v>
      </c>
    </row>
    <row r="33" customFormat="false" ht="15" hidden="false" customHeight="false" outlineLevel="0" collapsed="false">
      <c r="B33" s="29" t="s">
        <v>127</v>
      </c>
    </row>
    <row r="34" customFormat="false" ht="15" hidden="false" customHeight="false" outlineLevel="0" collapsed="false">
      <c r="B34" s="29" t="s">
        <v>128</v>
      </c>
    </row>
    <row r="35" customFormat="false" ht="15" hidden="false" customHeight="false" outlineLevel="0" collapsed="false">
      <c r="B35" s="29" t="s">
        <v>129</v>
      </c>
    </row>
    <row r="36" customFormat="false" ht="15" hidden="false" customHeight="false" outlineLevel="0" collapsed="false">
      <c r="B36" s="29" t="s">
        <v>130</v>
      </c>
    </row>
    <row r="38" customFormat="false" ht="18" hidden="false" customHeight="true" outlineLevel="0" collapsed="false">
      <c r="B38" s="28" t="s">
        <v>131</v>
      </c>
    </row>
    <row r="40" customFormat="false" ht="27.75" hidden="false" customHeight="true" outlineLevel="0" collapsed="false">
      <c r="B40" s="29" t="s">
        <v>132</v>
      </c>
    </row>
    <row r="42" customFormat="false" ht="15" hidden="false" customHeight="false" outlineLevel="0" collapsed="false">
      <c r="B42" s="30" t="s">
        <v>133</v>
      </c>
    </row>
    <row r="43" customFormat="false" ht="15" hidden="false" customHeight="false" outlineLevel="0" collapsed="false">
      <c r="B43" s="29" t="s">
        <v>134</v>
      </c>
    </row>
    <row r="44" customFormat="false" ht="15" hidden="false" customHeight="false" outlineLevel="0" collapsed="false">
      <c r="B44" s="29" t="s">
        <v>135</v>
      </c>
    </row>
    <row r="45" customFormat="false" ht="15" hidden="false" customHeight="false" outlineLevel="0" collapsed="false">
      <c r="B45" s="29" t="s">
        <v>136</v>
      </c>
    </row>
    <row r="46" customFormat="false" ht="15" hidden="false" customHeight="false" outlineLevel="0" collapsed="false">
      <c r="B46" s="29" t="s">
        <v>137</v>
      </c>
    </row>
    <row r="48" customFormat="false" ht="27.75" hidden="false" customHeight="true" outlineLevel="0" collapsed="false">
      <c r="B48" s="29" t="s">
        <v>138</v>
      </c>
    </row>
    <row r="50" customFormat="false" ht="18" hidden="false" customHeight="true" outlineLevel="0" collapsed="false">
      <c r="B50" s="28" t="s">
        <v>139</v>
      </c>
    </row>
    <row r="52" customFormat="false" ht="27.75" hidden="false" customHeight="true" outlineLevel="0" collapsed="false">
      <c r="B52" s="29" t="s">
        <v>140</v>
      </c>
    </row>
    <row r="54" customFormat="false" ht="15" hidden="false" customHeight="false" outlineLevel="0" collapsed="false">
      <c r="B54" s="30" t="s">
        <v>141</v>
      </c>
    </row>
    <row r="55" customFormat="false" ht="15" hidden="false" customHeight="false" outlineLevel="0" collapsed="false">
      <c r="B55" s="29" t="s">
        <v>142</v>
      </c>
    </row>
    <row r="56" customFormat="false" ht="15" hidden="false" customHeight="false" outlineLevel="0" collapsed="false">
      <c r="B56" s="29" t="s">
        <v>143</v>
      </c>
    </row>
    <row r="57" customFormat="false" ht="15" hidden="false" customHeight="false" outlineLevel="0" collapsed="false">
      <c r="B57" s="29" t="s">
        <v>144</v>
      </c>
    </row>
    <row r="58" customFormat="false" ht="15" hidden="false" customHeight="false" outlineLevel="0" collapsed="false">
      <c r="B58" s="29" t="s">
        <v>145</v>
      </c>
    </row>
    <row r="59" customFormat="false" ht="15" hidden="false" customHeight="false" outlineLevel="0" collapsed="false">
      <c r="B59" s="29" t="s">
        <v>146</v>
      </c>
    </row>
    <row r="60" customFormat="false" ht="15" hidden="false" customHeight="false" outlineLevel="0" collapsed="false">
      <c r="B60" s="29" t="s">
        <v>147</v>
      </c>
    </row>
    <row r="61" customFormat="false" ht="15" hidden="false" customHeight="false" outlineLevel="0" collapsed="false">
      <c r="B61" s="29" t="s">
        <v>148</v>
      </c>
    </row>
    <row r="62" customFormat="false" ht="15" hidden="false" customHeight="false" outlineLevel="0" collapsed="false">
      <c r="B62" s="29" t="s">
        <v>149</v>
      </c>
    </row>
    <row r="63" customFormat="false" ht="15" hidden="false" customHeight="false" outlineLevel="0" collapsed="false">
      <c r="B63" s="29" t="s">
        <v>150</v>
      </c>
    </row>
    <row r="65" customFormat="false" ht="27.75" hidden="false" customHeight="true" outlineLevel="0" collapsed="false">
      <c r="B65" s="29" t="s">
        <v>151</v>
      </c>
    </row>
    <row r="67" customFormat="false" ht="18" hidden="false" customHeight="true" outlineLevel="0" collapsed="false">
      <c r="B67" s="28" t="s">
        <v>152</v>
      </c>
    </row>
    <row r="69" customFormat="false" ht="27.75" hidden="false" customHeight="true" outlineLevel="0" collapsed="false">
      <c r="B69" s="29" t="s">
        <v>153</v>
      </c>
    </row>
    <row r="70" customFormat="false" ht="27.75" hidden="false" customHeight="true" outlineLevel="0" collapsed="false">
      <c r="B70" s="29" t="s">
        <v>154</v>
      </c>
    </row>
    <row r="71" customFormat="false" ht="27.75" hidden="false" customHeight="true" outlineLevel="0" collapsed="false">
      <c r="B71" s="29" t="s">
        <v>155</v>
      </c>
    </row>
    <row r="72" customFormat="false" ht="27.75" hidden="false" customHeight="true" outlineLevel="0" collapsed="false">
      <c r="B72" s="29" t="s">
        <v>156</v>
      </c>
    </row>
    <row r="74" customFormat="false" ht="18" hidden="false" customHeight="true" outlineLevel="0" collapsed="false">
      <c r="B74" s="28" t="s">
        <v>157</v>
      </c>
    </row>
    <row r="76" customFormat="false" ht="27.75" hidden="false" customHeight="true" outlineLevel="0" collapsed="false">
      <c r="B76" s="29" t="s">
        <v>158</v>
      </c>
    </row>
    <row r="78" customFormat="false" ht="18" hidden="false" customHeight="true" outlineLevel="0" collapsed="false">
      <c r="B78" s="28" t="s">
        <v>159</v>
      </c>
    </row>
    <row r="80" customFormat="false" ht="15" hidden="false" customHeight="false" outlineLevel="0" collapsed="false">
      <c r="B80" s="29" t="s">
        <v>160</v>
      </c>
    </row>
    <row r="81" customFormat="false" ht="15" hidden="false" customHeight="false" outlineLevel="0" collapsed="false">
      <c r="B81" s="29" t="s">
        <v>161</v>
      </c>
    </row>
    <row r="82" customFormat="false" ht="15" hidden="false" customHeight="false" outlineLevel="0" collapsed="false">
      <c r="B82" s="29" t="s">
        <v>162</v>
      </c>
    </row>
    <row r="83" customFormat="false" ht="15" hidden="false" customHeight="false" outlineLevel="0" collapsed="false">
      <c r="B83" s="29" t="s">
        <v>163</v>
      </c>
    </row>
    <row r="84" customFormat="false" ht="27.75" hidden="false" customHeight="true" outlineLevel="0" collapsed="false">
      <c r="B84" s="29" t="s">
        <v>164</v>
      </c>
    </row>
    <row r="86" customFormat="false" ht="27.75" hidden="false" customHeight="true" outlineLevel="0" collapsed="false">
      <c r="B86" s="29" t="s">
        <v>165</v>
      </c>
    </row>
    <row r="88" customFormat="false" ht="18" hidden="false" customHeight="true" outlineLevel="0" collapsed="false">
      <c r="B88" s="28" t="s">
        <v>166</v>
      </c>
    </row>
    <row r="90" customFormat="false" ht="15" hidden="false" customHeight="false" outlineLevel="0" collapsed="false">
      <c r="B90" s="29" t="s">
        <v>167</v>
      </c>
    </row>
    <row r="91" customFormat="false" ht="15" hidden="false" customHeight="false" outlineLevel="0" collapsed="false">
      <c r="B91" s="29" t="s">
        <v>168</v>
      </c>
    </row>
    <row r="92" customFormat="false" ht="27.75" hidden="false" customHeight="true" outlineLevel="0" collapsed="false">
      <c r="B92" s="29" t="s">
        <v>169</v>
      </c>
    </row>
    <row r="93" customFormat="false" ht="15" hidden="false" customHeight="false" outlineLevel="0" collapsed="false">
      <c r="B93" s="29" t="s">
        <v>170</v>
      </c>
    </row>
    <row r="94" customFormat="false" ht="27.75" hidden="false" customHeight="true" outlineLevel="0" collapsed="false">
      <c r="B94" s="29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2026-02-17T23:21:05Z</dcterms:created>
  <dc:creator>openpyxl</dc:creator>
  <dc:description/>
  <dc:language>en-US</dc:language>
  <cp:lastModifiedBy>Kevin Harlan</cp:lastModifiedBy>
  <dcterms:modified xsi:type="dcterms:W3CDTF">2026-03-07T12:25:25Z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